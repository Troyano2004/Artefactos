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beni\OneDrive\Documentos\UTEQ\6 SEMESTRE\Proceso de Software\Semana 5\"/>
    </mc:Choice>
  </mc:AlternateContent>
  <xr:revisionPtr revIDLastSave="0" documentId="13_ncr:1_{A4516B1A-04E4-4B76-8735-B81CE7BA0D8B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Planificación" sheetId="1" r:id="rId1"/>
    <sheet name="Artefacto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5" i="2" l="1"/>
  <c r="A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D52" i="1"/>
  <c r="E52" i="1" s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 s="1"/>
  <c r="C5" i="1" s="1"/>
</calcChain>
</file>

<file path=xl/sharedStrings.xml><?xml version="1.0" encoding="utf-8"?>
<sst xmlns="http://schemas.openxmlformats.org/spreadsheetml/2006/main" count="231" uniqueCount="151">
  <si>
    <t>Leyenda:</t>
  </si>
  <si>
    <t>FASE</t>
  </si>
  <si>
    <t>Subfase</t>
  </si>
  <si>
    <t>Artefacto</t>
  </si>
  <si>
    <t>Resumen:</t>
  </si>
  <si>
    <t>Semanas:</t>
  </si>
  <si>
    <t>CRONOGRAMA POR DÍAS  (5 días laborables / semana)</t>
  </si>
  <si>
    <t>Días laborables: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</si>
  <si>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</si>
  <si>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</si>
  <si>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</si>
  <si>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</si>
  <si>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</si>
  <si>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</si>
  <si>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</si>
  <si>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</si>
  <si>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</si>
  <si>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</si>
  <si>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</si>
  <si>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</si>
  <si>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</si>
  <si>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ID</t>
  </si>
  <si>
    <t>FASE / Subfase / Artefacto</t>
  </si>
  <si>
    <t>Día
inicio</t>
  </si>
  <si>
    <t>Artefactos:</t>
  </si>
  <si>
    <t>FASE 1</t>
  </si>
  <si>
    <t>FASE 1 — ANÁLISIS DE REQUISITOS</t>
  </si>
  <si>
    <t>1.1</t>
  </si>
  <si>
    <t>Levantamiento de información</t>
  </si>
  <si>
    <t>A1</t>
  </si>
  <si>
    <t>Documento de análisis del dominio (entrevistas)</t>
  </si>
  <si>
    <t>1.2</t>
  </si>
  <si>
    <t>Especificación de requisitos</t>
  </si>
  <si>
    <t>A2</t>
  </si>
  <si>
    <t>Especificación de Requisitos de Software (SRS: RF/RNF — ISO 29148)</t>
  </si>
  <si>
    <t>A3</t>
  </si>
  <si>
    <t>Matriz de trazabilidad de requisitos</t>
  </si>
  <si>
    <t>FASE 2</t>
  </si>
  <si>
    <t>FASE 2 — DISEÑO</t>
  </si>
  <si>
    <t>2.1</t>
  </si>
  <si>
    <t>Modelado funcional</t>
  </si>
  <si>
    <t>A4</t>
  </si>
  <si>
    <t>Diagrama de casos de uso</t>
  </si>
  <si>
    <t>A5</t>
  </si>
  <si>
    <t>Especificación de casos de uso</t>
  </si>
  <si>
    <t>2.2</t>
  </si>
  <si>
    <t>Modelado estructural</t>
  </si>
  <si>
    <t>A6</t>
  </si>
  <si>
    <t>Diagrama de clases</t>
  </si>
  <si>
    <t>A7</t>
  </si>
  <si>
    <t>Diagrama Entidad-Relación (modelo de datos)</t>
  </si>
  <si>
    <t>2.3</t>
  </si>
  <si>
    <t>Modelado dinámico</t>
  </si>
  <si>
    <t>A8</t>
  </si>
  <si>
    <t>Diagramas de secuencia</t>
  </si>
  <si>
    <t>A9</t>
  </si>
  <si>
    <t>Diagramas de actividad</t>
  </si>
  <si>
    <t>2.4</t>
  </si>
  <si>
    <t>Diseño de arquitectura e interfaz</t>
  </si>
  <si>
    <t>A10</t>
  </si>
  <si>
    <t>Diagrama de arquitectura / paquetes</t>
  </si>
  <si>
    <t>A11</t>
  </si>
  <si>
    <t>Prototipos de interfaz (mockups)</t>
  </si>
  <si>
    <t>FASE 3</t>
  </si>
  <si>
    <t>FASE 3 — IMPLEMENTACIÓN</t>
  </si>
  <si>
    <t>3.1</t>
  </si>
  <si>
    <t>Configuración del entorno</t>
  </si>
  <si>
    <t>A12</t>
  </si>
  <si>
    <t>Documento de configuración del entorno y repositorio</t>
  </si>
  <si>
    <t>3.2</t>
  </si>
  <si>
    <t>Desarrollo backend (Spring Boot)</t>
  </si>
  <si>
    <t>A13</t>
  </si>
  <si>
    <t>Código fuente backend (API REST y módulos)</t>
  </si>
  <si>
    <t>3.3</t>
  </si>
  <si>
    <t>Desarrollo frontend (Angular)</t>
  </si>
  <si>
    <t>A14</t>
  </si>
  <si>
    <t>Código fuente frontend (componentes)</t>
  </si>
  <si>
    <t>3.4</t>
  </si>
  <si>
    <t>Integración</t>
  </si>
  <si>
    <t>A15</t>
  </si>
  <si>
    <t>Build integrado y documento de integración</t>
  </si>
  <si>
    <t>FASE 4</t>
  </si>
  <si>
    <t>FASE 4 — PRUEBAS</t>
  </si>
  <si>
    <t>4.1</t>
  </si>
  <si>
    <t>Diseño de pruebas</t>
  </si>
  <si>
    <t>A16</t>
  </si>
  <si>
    <t>Plan de pruebas y casos de prueba</t>
  </si>
  <si>
    <t>4.2</t>
  </si>
  <si>
    <t>Ejecución y reporte</t>
  </si>
  <si>
    <t>A17</t>
  </si>
  <si>
    <t>Reporte de pruebas (JUnit / cobertura JaCoCo)</t>
  </si>
  <si>
    <t>FASE 5</t>
  </si>
  <si>
    <t>FASE 5 — DESPLIEGUE</t>
  </si>
  <si>
    <t>5.1</t>
  </si>
  <si>
    <t>Implantación</t>
  </si>
  <si>
    <t>A18</t>
  </si>
  <si>
    <t>Manual de despliegue / instalación</t>
  </si>
  <si>
    <t>5.2</t>
  </si>
  <si>
    <t>Documentación de usuario</t>
  </si>
  <si>
    <t>A19</t>
  </si>
  <si>
    <t>Manual de usuario</t>
  </si>
  <si>
    <t>FASE 6</t>
  </si>
  <si>
    <t>FASE 6 — CIERRE Y VALIDACIÓN</t>
  </si>
  <si>
    <t>6.1</t>
  </si>
  <si>
    <t>Validación con usuarios</t>
  </si>
  <si>
    <t>A20</t>
  </si>
  <si>
    <t>Informe de validación de usabilidad (SUS)</t>
  </si>
  <si>
    <t>6.2</t>
  </si>
  <si>
    <t>Cierre del proyecto</t>
  </si>
  <si>
    <t>A21</t>
  </si>
  <si>
    <t>Documento de cierre y lecciones aprendidas</t>
  </si>
  <si>
    <t>TOTAL PROYECTO</t>
  </si>
  <si>
    <t>LISTA DE ARTEFACTOS DEL CICLO DE VIDA (Cascada)</t>
  </si>
  <si>
    <t>Fase</t>
  </si>
  <si>
    <t>Tipo</t>
  </si>
  <si>
    <t>Día inicio</t>
  </si>
  <si>
    <t>Día fin</t>
  </si>
  <si>
    <t>Duración (días)</t>
  </si>
  <si>
    <t>ANÁLISIS DE REQUISITOS</t>
  </si>
  <si>
    <t>1.1 Levantamiento de información</t>
  </si>
  <si>
    <t>Documento</t>
  </si>
  <si>
    <t>1.2 Especificación de requisitos</t>
  </si>
  <si>
    <t>DISEÑO</t>
  </si>
  <si>
    <t>2.1 Modelado funcional</t>
  </si>
  <si>
    <t>Modelo UML</t>
  </si>
  <si>
    <t>2.2 Modelado estructural</t>
  </si>
  <si>
    <t>Modelo</t>
  </si>
  <si>
    <t>2.3 Modelado dinámico</t>
  </si>
  <si>
    <t>2.4 Diseño de arquitectura e interfaz</t>
  </si>
  <si>
    <t>Diseño</t>
  </si>
  <si>
    <t>IMPLEMENTACIÓN</t>
  </si>
  <si>
    <t>3.1 Configuración del entorno</t>
  </si>
  <si>
    <t>3.2 Desarrollo backend (Spring Boot)</t>
  </si>
  <si>
    <t>Código</t>
  </si>
  <si>
    <t>3.3 Desarrollo frontend (Angular)</t>
  </si>
  <si>
    <t>3.4 Integración</t>
  </si>
  <si>
    <t>PRUEBAS</t>
  </si>
  <si>
    <t>4.1 Diseño de pruebas</t>
  </si>
  <si>
    <t>4.2 Ejecución y reporte</t>
  </si>
  <si>
    <t>Prueba</t>
  </si>
  <si>
    <t>DESPLIEGUE</t>
  </si>
  <si>
    <t>5.1 Implantación</t>
  </si>
  <si>
    <t>5.2 Documentación de usuario</t>
  </si>
  <si>
    <t>CIERRE Y VALIDACIÓN</t>
  </si>
  <si>
    <t>6.1 Validación con usuarios</t>
  </si>
  <si>
    <t>6.2 Cierre del proyecto</t>
  </si>
  <si>
    <t>TOTAL ARTEFACTOS</t>
  </si>
  <si>
    <r>
      <t xml:space="preserve">Tema: </t>
    </r>
    <r>
      <rPr>
        <sz val="11"/>
        <rFont val="Arial"/>
        <family val="2"/>
      </rPr>
      <t>Sistema Web de Gestión de Pre-Sustentaciones</t>
    </r>
  </si>
  <si>
    <r>
      <t xml:space="preserve">Metodología: </t>
    </r>
    <r>
      <rPr>
        <sz val="11"/>
        <rFont val="Arial"/>
        <family val="2"/>
      </rPr>
      <t>Cascada por fases (Waterfall)</t>
    </r>
  </si>
  <si>
    <r>
      <t xml:space="preserve">Autor / Equipo: </t>
    </r>
    <r>
      <rPr>
        <sz val="11"/>
        <rFont val="Arial"/>
        <family val="2"/>
      </rPr>
      <t>BENITES_BUENO_CASTRO</t>
    </r>
  </si>
  <si>
    <t>PLANIFICACIÓN DE PROYECTO DE SOFTWARE - DIAGRAMA DE GANTT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</si>
</sst>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4"/>
      <color rgb="FF1B5E20"/>
      <name val="Arial"/>
      <charset val="1"/>
    </font>
    <font>
      <b/>
      <sz val="11"/>
      <name val="Arial"/>
      <charset val="1"/>
    </font>
    <font>
      <b/>
      <sz val="9"/>
      <name val="Arial"/>
      <charset val="1"/>
    </font>
    <font>
      <b/>
      <sz val="9"/>
      <color rgb="FFFFFFFF"/>
      <name val="Arial"/>
      <charset val="1"/>
    </font>
    <font>
      <sz val="9"/>
      <color rgb="FFFFFFFF"/>
      <name val="Arial"/>
      <charset val="1"/>
    </font>
    <font>
      <b/>
      <sz val="9"/>
      <color rgb="FF1B5E20"/>
      <name val="Arial"/>
      <charset val="1"/>
    </font>
    <font>
      <b/>
      <sz val="8"/>
      <name val="Arial"/>
      <charset val="1"/>
    </font>
    <font>
      <b/>
      <sz val="10"/>
      <color rgb="FFFFFFFF"/>
      <name val="Arial"/>
      <charset val="1"/>
    </font>
    <font>
      <b/>
      <sz val="7"/>
      <color rgb="FFFFFFFF"/>
      <name val="Arial"/>
      <charset val="1"/>
    </font>
    <font>
      <sz val="9.5"/>
      <name val="Arial"/>
      <charset val="1"/>
    </font>
    <font>
      <b/>
      <sz val="9.5"/>
      <name val="Arial"/>
      <charset val="1"/>
    </font>
    <font>
      <b/>
      <sz val="10"/>
      <color rgb="FF1B5E20"/>
      <name val="Arial"/>
      <charset val="1"/>
    </font>
    <font>
      <b/>
      <sz val="11"/>
      <color rgb="FFFFFFFF"/>
      <name val="Arial"/>
      <charset val="1"/>
    </font>
    <font>
      <b/>
      <sz val="13"/>
      <color rgb="FF1B5E20"/>
      <name val="Arial"/>
      <charset val="1"/>
    </font>
    <font>
      <sz val="10"/>
      <name val="Arial"/>
      <charset val="1"/>
    </font>
    <font>
      <sz val="11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4CAF50"/>
        <bgColor rgb="FF2E7D32"/>
      </patternFill>
    </fill>
    <fill>
      <patternFill patternType="solid">
        <fgColor rgb="FFA5D6A7"/>
        <bgColor rgb="FFC8E6C9"/>
      </patternFill>
    </fill>
    <fill>
      <patternFill patternType="solid">
        <fgColor rgb="FFEDEDED"/>
        <bgColor rgb="FFF2F8F2"/>
      </patternFill>
    </fill>
    <fill>
      <patternFill patternType="solid">
        <fgColor rgb="FFF7F7F7"/>
        <bgColor rgb="FFF2F8F2"/>
      </patternFill>
    </fill>
    <fill>
      <patternFill patternType="solid">
        <fgColor rgb="FF2E7D32"/>
        <bgColor rgb="FF1B5E20"/>
      </patternFill>
    </fill>
    <fill>
      <patternFill patternType="solid">
        <fgColor rgb="FFC8E6C9"/>
        <bgColor rgb="FFD9D9D9"/>
      </patternFill>
    </fill>
    <fill>
      <patternFill patternType="solid">
        <fgColor rgb="FFFFFFFF"/>
        <bgColor rgb="FFF7F7F7"/>
      </patternFill>
    </fill>
    <fill>
      <patternFill patternType="solid">
        <fgColor rgb="FFF2F8F2"/>
        <bgColor rgb="FFF7F7F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6" fillId="0" borderId="0" xfId="0" applyFont="1"/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indent="1"/>
    </xf>
    <xf numFmtId="0" fontId="10" fillId="8" borderId="1" xfId="0" applyFont="1" applyFill="1" applyBorder="1" applyAlignment="1">
      <alignment horizontal="center"/>
    </xf>
    <xf numFmtId="0" fontId="0" fillId="3" borderId="1" xfId="0" applyFill="1" applyBorder="1"/>
    <xf numFmtId="0" fontId="10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 indent="2"/>
    </xf>
    <xf numFmtId="0" fontId="10" fillId="9" borderId="1" xfId="0" applyFont="1" applyFill="1" applyBorder="1" applyAlignment="1">
      <alignment horizontal="center"/>
    </xf>
    <xf numFmtId="0" fontId="0" fillId="4" borderId="1" xfId="0" applyFill="1" applyBorder="1"/>
    <xf numFmtId="0" fontId="13" fillId="2" borderId="1" xfId="0" applyFont="1" applyFill="1" applyBorder="1"/>
    <xf numFmtId="0" fontId="13" fillId="2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/>
    </xf>
    <xf numFmtId="0" fontId="15" fillId="10" borderId="1" xfId="0" applyFont="1" applyFill="1" applyBorder="1"/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13" fillId="2" borderId="0" xfId="0" applyFont="1" applyFill="1" applyAlignment="1">
      <alignment horizontal="center"/>
    </xf>
    <xf numFmtId="0" fontId="13" fillId="2" borderId="0" xfId="0" applyFont="1" applyFill="1"/>
    <xf numFmtId="0" fontId="0" fillId="2" borderId="0" xfId="0" applyFill="1"/>
    <xf numFmtId="0" fontId="17" fillId="0" borderId="0" xfId="0" applyFont="1"/>
    <xf numFmtId="0" fontId="18" fillId="7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7" fillId="5" borderId="0" xfId="0" applyFont="1" applyFill="1" applyBorder="1" applyAlignment="1">
      <alignment horizontal="center"/>
    </xf>
    <xf numFmtId="0" fontId="7" fillId="6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A5D6A7"/>
      <rgbColor rgb="FF808080"/>
      <rgbColor rgb="FF9999FF"/>
      <rgbColor rgb="FF993366"/>
      <rgbColor rgb="FFF2F8F2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7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CAF50"/>
      <rgbColor rgb="FF003300"/>
      <rgbColor rgb="FF333300"/>
      <rgbColor rgb="FF993300"/>
      <rgbColor rgb="FF993366"/>
      <rgbColor rgb="FF333399"/>
      <rgbColor rgb="FF1B5E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2"/>
  <sheetViews>
    <sheetView showGridLines="0" tabSelected="1" zoomScale="130" zoomScaleNormal="130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J19" sqref="J19"/>
    </sheetView>
  </sheetViews>
  <sheetFormatPr baseColWidth="10" defaultColWidth="8.7109375" defaultRowHeight="15" x14ac:dyDescent="0.25"/>
  <cols>
    <col min="1" max="1" width="7" customWidth="1"/>
    <col min="2" max="2" width="65.42578125" customWidth="1"/>
    <col min="3" max="3" width="7" customWidth="1"/>
    <col min="4" max="4" width="14.5703125" bestFit="1" customWidth="1"/>
    <col min="5" max="5" width="7" customWidth="1"/>
    <col min="6" max="70" width="2.7109375" customWidth="1"/>
  </cols>
  <sheetData>
    <row r="1" spans="1:70" ht="18" x14ac:dyDescent="0.25">
      <c r="B1" s="38" t="s">
        <v>150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70" x14ac:dyDescent="0.25">
      <c r="B2" s="31" t="s">
        <v>147</v>
      </c>
      <c r="C2" s="1"/>
      <c r="D2" s="2" t="s">
        <v>0</v>
      </c>
    </row>
    <row r="3" spans="1:70" x14ac:dyDescent="0.25">
      <c r="B3" s="31" t="s">
        <v>148</v>
      </c>
      <c r="C3" s="1"/>
      <c r="D3" s="3" t="s">
        <v>1</v>
      </c>
      <c r="E3" s="39" t="s">
        <v>2</v>
      </c>
      <c r="F3" s="39"/>
      <c r="G3" s="40" t="s">
        <v>3</v>
      </c>
      <c r="H3" s="40"/>
      <c r="I3" s="40"/>
    </row>
    <row r="4" spans="1:70" x14ac:dyDescent="0.25">
      <c r="B4" s="31" t="s">
        <v>149</v>
      </c>
      <c r="C4" s="1"/>
    </row>
    <row r="5" spans="1:70" x14ac:dyDescent="0.25">
      <c r="B5" s="35" t="s">
        <v>4</v>
      </c>
      <c r="C5" t="str">
        <f>CONCATENATE("6 fases | ",E6," semanas | ",E7," días laborables | ",E8," artefactos")</f>
        <v>6 fases | 13 semanas | 65 días laborables | 21 artefactos</v>
      </c>
    </row>
    <row r="6" spans="1:70" x14ac:dyDescent="0.25">
      <c r="D6" s="34" t="s">
        <v>5</v>
      </c>
      <c r="E6" s="33">
        <f>ROUNDUP(E7/5,0)</f>
        <v>13</v>
      </c>
    </row>
    <row r="7" spans="1:70" x14ac:dyDescent="0.25">
      <c r="B7" s="4" t="s">
        <v>6</v>
      </c>
      <c r="D7" s="34" t="s">
        <v>7</v>
      </c>
      <c r="E7" s="33">
        <f>MAX(D9:D51)</f>
        <v>65</v>
      </c>
      <c r="F7" s="36" t="s">
        <v>8</v>
      </c>
      <c r="G7" s="36"/>
      <c r="H7" s="36"/>
      <c r="I7" s="36"/>
      <c r="J7" s="36"/>
      <c r="K7" s="37" t="s">
        <v>9</v>
      </c>
      <c r="L7" s="37"/>
      <c r="M7" s="37"/>
      <c r="N7" s="37"/>
      <c r="O7" s="37"/>
      <c r="P7" s="36" t="s">
        <v>10</v>
      </c>
      <c r="Q7" s="36"/>
      <c r="R7" s="36"/>
      <c r="S7" s="36"/>
      <c r="T7" s="36"/>
      <c r="U7" s="37" t="s">
        <v>11</v>
      </c>
      <c r="V7" s="37"/>
      <c r="W7" s="37"/>
      <c r="X7" s="37"/>
      <c r="Y7" s="37"/>
      <c r="Z7" s="36" t="s">
        <v>12</v>
      </c>
      <c r="AA7" s="36"/>
      <c r="AB7" s="36"/>
      <c r="AC7" s="36"/>
      <c r="AD7" s="36"/>
      <c r="AE7" s="37" t="s">
        <v>13</v>
      </c>
      <c r="AF7" s="37"/>
      <c r="AG7" s="37"/>
      <c r="AH7" s="37"/>
      <c r="AI7" s="37"/>
      <c r="AJ7" s="36" t="s">
        <v>14</v>
      </c>
      <c r="AK7" s="36"/>
      <c r="AL7" s="36"/>
      <c r="AM7" s="36"/>
      <c r="AN7" s="36"/>
      <c r="AO7" s="37" t="s">
        <v>15</v>
      </c>
      <c r="AP7" s="37"/>
      <c r="AQ7" s="37"/>
      <c r="AR7" s="37"/>
      <c r="AS7" s="37"/>
      <c r="AT7" s="36" t="s">
        <v>16</v>
      </c>
      <c r="AU7" s="36"/>
      <c r="AV7" s="36"/>
      <c r="AW7" s="36"/>
      <c r="AX7" s="36"/>
      <c r="AY7" s="37" t="s">
        <v>17</v>
      </c>
      <c r="AZ7" s="37"/>
      <c r="BA7" s="37"/>
      <c r="BB7" s="37"/>
      <c r="BC7" s="37"/>
      <c r="BD7" s="36" t="s">
        <v>18</v>
      </c>
      <c r="BE7" s="36"/>
      <c r="BF7" s="36"/>
      <c r="BG7" s="36"/>
      <c r="BH7" s="36"/>
      <c r="BI7" s="37" t="s">
        <v>19</v>
      </c>
      <c r="BJ7" s="37"/>
      <c r="BK7" s="37"/>
      <c r="BL7" s="37"/>
      <c r="BM7" s="37"/>
      <c r="BN7" s="36" t="s">
        <v>20</v>
      </c>
      <c r="BO7" s="36"/>
      <c r="BP7" s="36"/>
      <c r="BQ7" s="36"/>
      <c r="BR7" s="36"/>
    </row>
    <row r="8" spans="1:70" ht="25.5" x14ac:dyDescent="0.25">
      <c r="A8" s="5" t="s">
        <v>21</v>
      </c>
      <c r="B8" s="5" t="s">
        <v>22</v>
      </c>
      <c r="C8" s="5" t="s">
        <v>23</v>
      </c>
      <c r="D8" s="32" t="s">
        <v>24</v>
      </c>
      <c r="E8" s="5">
        <f>COUNTIF(A9:A51,"A?")+COUNTIF(A9:A51,"A??")</f>
        <v>21</v>
      </c>
      <c r="F8" s="6">
        <v>1</v>
      </c>
      <c r="G8" s="6">
        <v>2</v>
      </c>
      <c r="H8" s="6">
        <v>3</v>
      </c>
      <c r="I8" s="6">
        <v>4</v>
      </c>
      <c r="J8" s="6">
        <v>5</v>
      </c>
      <c r="K8" s="6">
        <v>6</v>
      </c>
      <c r="L8" s="6">
        <v>7</v>
      </c>
      <c r="M8" s="6">
        <v>8</v>
      </c>
      <c r="N8" s="6">
        <v>9</v>
      </c>
      <c r="O8" s="6">
        <v>10</v>
      </c>
      <c r="P8" s="6">
        <v>11</v>
      </c>
      <c r="Q8" s="6">
        <v>12</v>
      </c>
      <c r="R8" s="6">
        <v>13</v>
      </c>
      <c r="S8" s="6">
        <v>14</v>
      </c>
      <c r="T8" s="6">
        <v>15</v>
      </c>
      <c r="U8" s="6">
        <v>16</v>
      </c>
      <c r="V8" s="6">
        <v>17</v>
      </c>
      <c r="W8" s="6">
        <v>18</v>
      </c>
      <c r="X8" s="6">
        <v>19</v>
      </c>
      <c r="Y8" s="6">
        <v>20</v>
      </c>
      <c r="Z8" s="6">
        <v>21</v>
      </c>
      <c r="AA8" s="6">
        <v>22</v>
      </c>
      <c r="AB8" s="6">
        <v>23</v>
      </c>
      <c r="AC8" s="6">
        <v>24</v>
      </c>
      <c r="AD8" s="6">
        <v>25</v>
      </c>
      <c r="AE8" s="6">
        <v>26</v>
      </c>
      <c r="AF8" s="6">
        <v>27</v>
      </c>
      <c r="AG8" s="6">
        <v>28</v>
      </c>
      <c r="AH8" s="6">
        <v>29</v>
      </c>
      <c r="AI8" s="6">
        <v>30</v>
      </c>
      <c r="AJ8" s="6">
        <v>31</v>
      </c>
      <c r="AK8" s="6">
        <v>32</v>
      </c>
      <c r="AL8" s="6">
        <v>33</v>
      </c>
      <c r="AM8" s="6">
        <v>34</v>
      </c>
      <c r="AN8" s="6">
        <v>35</v>
      </c>
      <c r="AO8" s="6">
        <v>36</v>
      </c>
      <c r="AP8" s="6">
        <v>37</v>
      </c>
      <c r="AQ8" s="6">
        <v>38</v>
      </c>
      <c r="AR8" s="6">
        <v>39</v>
      </c>
      <c r="AS8" s="6">
        <v>40</v>
      </c>
      <c r="AT8" s="6">
        <v>41</v>
      </c>
      <c r="AU8" s="6">
        <v>42</v>
      </c>
      <c r="AV8" s="6">
        <v>43</v>
      </c>
      <c r="AW8" s="6">
        <v>44</v>
      </c>
      <c r="AX8" s="6">
        <v>45</v>
      </c>
      <c r="AY8" s="6">
        <v>46</v>
      </c>
      <c r="AZ8" s="6">
        <v>47</v>
      </c>
      <c r="BA8" s="6">
        <v>48</v>
      </c>
      <c r="BB8" s="6">
        <v>49</v>
      </c>
      <c r="BC8" s="6">
        <v>50</v>
      </c>
      <c r="BD8" s="6">
        <v>51</v>
      </c>
      <c r="BE8" s="6">
        <v>52</v>
      </c>
      <c r="BF8" s="6">
        <v>53</v>
      </c>
      <c r="BG8" s="6">
        <v>54</v>
      </c>
      <c r="BH8" s="6">
        <v>55</v>
      </c>
      <c r="BI8" s="6">
        <v>56</v>
      </c>
      <c r="BJ8" s="6">
        <v>57</v>
      </c>
      <c r="BK8" s="6">
        <v>58</v>
      </c>
      <c r="BL8" s="6">
        <v>59</v>
      </c>
      <c r="BM8" s="6">
        <v>60</v>
      </c>
      <c r="BN8" s="6">
        <v>61</v>
      </c>
      <c r="BO8" s="6">
        <v>62</v>
      </c>
      <c r="BP8" s="6">
        <v>63</v>
      </c>
      <c r="BQ8" s="6">
        <v>64</v>
      </c>
      <c r="BR8" s="6">
        <v>65</v>
      </c>
    </row>
    <row r="9" spans="1:70" x14ac:dyDescent="0.25">
      <c r="A9" s="7" t="s">
        <v>25</v>
      </c>
      <c r="B9" s="8" t="s">
        <v>26</v>
      </c>
      <c r="C9" s="9">
        <v>1</v>
      </c>
      <c r="D9" s="9">
        <v>10</v>
      </c>
      <c r="E9" s="10">
        <f t="shared" ref="E9:E52" si="0">D9-C9+1</f>
        <v>10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</row>
    <row r="10" spans="1:70" x14ac:dyDescent="0.25">
      <c r="A10" s="13" t="s">
        <v>27</v>
      </c>
      <c r="B10" s="14" t="s">
        <v>28</v>
      </c>
      <c r="C10" s="15">
        <v>1</v>
      </c>
      <c r="D10" s="15">
        <v>4</v>
      </c>
      <c r="E10" s="15">
        <f t="shared" si="0"/>
        <v>4</v>
      </c>
      <c r="F10" s="16"/>
      <c r="G10" s="16"/>
      <c r="H10" s="16"/>
      <c r="I10" s="16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</row>
    <row r="11" spans="1:70" x14ac:dyDescent="0.25">
      <c r="A11" s="17" t="s">
        <v>29</v>
      </c>
      <c r="B11" s="18" t="s">
        <v>30</v>
      </c>
      <c r="C11" s="19">
        <v>1</v>
      </c>
      <c r="D11" s="19">
        <v>4</v>
      </c>
      <c r="E11" s="19">
        <f t="shared" si="0"/>
        <v>4</v>
      </c>
      <c r="F11" s="20"/>
      <c r="G11" s="20"/>
      <c r="H11" s="20"/>
      <c r="I11" s="20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</row>
    <row r="12" spans="1:70" x14ac:dyDescent="0.25">
      <c r="A12" s="13" t="s">
        <v>31</v>
      </c>
      <c r="B12" s="14" t="s">
        <v>32</v>
      </c>
      <c r="C12" s="15">
        <v>5</v>
      </c>
      <c r="D12" s="15">
        <v>10</v>
      </c>
      <c r="E12" s="15">
        <f t="shared" si="0"/>
        <v>6</v>
      </c>
      <c r="F12" s="12"/>
      <c r="G12" s="12"/>
      <c r="H12" s="12"/>
      <c r="I12" s="12"/>
      <c r="J12" s="16"/>
      <c r="K12" s="16"/>
      <c r="L12" s="16"/>
      <c r="M12" s="16"/>
      <c r="N12" s="16"/>
      <c r="O12" s="16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</row>
    <row r="13" spans="1:70" x14ac:dyDescent="0.25">
      <c r="A13" s="17" t="s">
        <v>33</v>
      </c>
      <c r="B13" s="18" t="s">
        <v>34</v>
      </c>
      <c r="C13" s="19">
        <v>5</v>
      </c>
      <c r="D13" s="19">
        <v>8</v>
      </c>
      <c r="E13" s="19">
        <f t="shared" si="0"/>
        <v>4</v>
      </c>
      <c r="F13" s="12"/>
      <c r="G13" s="12"/>
      <c r="H13" s="12"/>
      <c r="I13" s="12"/>
      <c r="J13" s="20"/>
      <c r="K13" s="20"/>
      <c r="L13" s="20"/>
      <c r="M13" s="20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</row>
    <row r="14" spans="1:70" x14ac:dyDescent="0.25">
      <c r="A14" s="17" t="s">
        <v>35</v>
      </c>
      <c r="B14" s="18" t="s">
        <v>36</v>
      </c>
      <c r="C14" s="19">
        <v>9</v>
      </c>
      <c r="D14" s="19">
        <v>10</v>
      </c>
      <c r="E14" s="19">
        <f t="shared" si="0"/>
        <v>2</v>
      </c>
      <c r="F14" s="12"/>
      <c r="G14" s="12"/>
      <c r="H14" s="12"/>
      <c r="I14" s="12"/>
      <c r="J14" s="12"/>
      <c r="K14" s="12"/>
      <c r="L14" s="12"/>
      <c r="M14" s="12"/>
      <c r="N14" s="20"/>
      <c r="O14" s="20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</row>
    <row r="15" spans="1:70" x14ac:dyDescent="0.25">
      <c r="A15" s="7" t="s">
        <v>37</v>
      </c>
      <c r="B15" s="8" t="s">
        <v>38</v>
      </c>
      <c r="C15" s="9">
        <v>11</v>
      </c>
      <c r="D15" s="9">
        <v>25</v>
      </c>
      <c r="E15" s="10">
        <f t="shared" si="0"/>
        <v>15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</row>
    <row r="16" spans="1:70" x14ac:dyDescent="0.25">
      <c r="A16" s="13" t="s">
        <v>39</v>
      </c>
      <c r="B16" s="14" t="s">
        <v>40</v>
      </c>
      <c r="C16" s="15">
        <v>11</v>
      </c>
      <c r="D16" s="15">
        <v>14</v>
      </c>
      <c r="E16" s="15">
        <f t="shared" si="0"/>
        <v>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6"/>
      <c r="Q16" s="16"/>
      <c r="R16" s="16"/>
      <c r="S16" s="16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</row>
    <row r="17" spans="1:70" x14ac:dyDescent="0.25">
      <c r="A17" s="17" t="s">
        <v>41</v>
      </c>
      <c r="B17" s="18" t="s">
        <v>42</v>
      </c>
      <c r="C17" s="19">
        <v>11</v>
      </c>
      <c r="D17" s="19">
        <v>12</v>
      </c>
      <c r="E17" s="19">
        <f t="shared" si="0"/>
        <v>2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20"/>
      <c r="Q17" s="20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</row>
    <row r="18" spans="1:70" x14ac:dyDescent="0.25">
      <c r="A18" s="17" t="s">
        <v>43</v>
      </c>
      <c r="B18" s="18" t="s">
        <v>44</v>
      </c>
      <c r="C18" s="19">
        <v>13</v>
      </c>
      <c r="D18" s="19">
        <v>14</v>
      </c>
      <c r="E18" s="19">
        <f t="shared" si="0"/>
        <v>2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20"/>
      <c r="S18" s="20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</row>
    <row r="19" spans="1:70" x14ac:dyDescent="0.25">
      <c r="A19" s="13" t="s">
        <v>45</v>
      </c>
      <c r="B19" s="14" t="s">
        <v>46</v>
      </c>
      <c r="C19" s="15">
        <v>15</v>
      </c>
      <c r="D19" s="15">
        <v>18</v>
      </c>
      <c r="E19" s="15">
        <f t="shared" si="0"/>
        <v>4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6"/>
      <c r="U19" s="16"/>
      <c r="V19" s="16"/>
      <c r="W19" s="16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</row>
    <row r="20" spans="1:70" x14ac:dyDescent="0.25">
      <c r="A20" s="17" t="s">
        <v>47</v>
      </c>
      <c r="B20" s="18" t="s">
        <v>48</v>
      </c>
      <c r="C20" s="19">
        <v>15</v>
      </c>
      <c r="D20" s="19">
        <v>16</v>
      </c>
      <c r="E20" s="19">
        <f t="shared" si="0"/>
        <v>2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20"/>
      <c r="U20" s="20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</row>
    <row r="21" spans="1:70" x14ac:dyDescent="0.25">
      <c r="A21" s="17" t="s">
        <v>49</v>
      </c>
      <c r="B21" s="18" t="s">
        <v>50</v>
      </c>
      <c r="C21" s="19">
        <v>17</v>
      </c>
      <c r="D21" s="19">
        <v>18</v>
      </c>
      <c r="E21" s="19">
        <f t="shared" si="0"/>
        <v>2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20"/>
      <c r="W21" s="20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</row>
    <row r="22" spans="1:70" x14ac:dyDescent="0.25">
      <c r="A22" s="13" t="s">
        <v>51</v>
      </c>
      <c r="B22" s="14" t="s">
        <v>52</v>
      </c>
      <c r="C22" s="15">
        <v>19</v>
      </c>
      <c r="D22" s="15">
        <v>22</v>
      </c>
      <c r="E22" s="15">
        <f t="shared" si="0"/>
        <v>4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6"/>
      <c r="Y22" s="16"/>
      <c r="Z22" s="16"/>
      <c r="AA22" s="16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</row>
    <row r="23" spans="1:70" x14ac:dyDescent="0.25">
      <c r="A23" s="17" t="s">
        <v>53</v>
      </c>
      <c r="B23" s="18" t="s">
        <v>54</v>
      </c>
      <c r="C23" s="19">
        <v>19</v>
      </c>
      <c r="D23" s="19">
        <v>20</v>
      </c>
      <c r="E23" s="19">
        <f t="shared" si="0"/>
        <v>2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20"/>
      <c r="Y23" s="20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</row>
    <row r="24" spans="1:70" x14ac:dyDescent="0.25">
      <c r="A24" s="17" t="s">
        <v>55</v>
      </c>
      <c r="B24" s="18" t="s">
        <v>56</v>
      </c>
      <c r="C24" s="19">
        <v>21</v>
      </c>
      <c r="D24" s="19">
        <v>22</v>
      </c>
      <c r="E24" s="19">
        <f t="shared" si="0"/>
        <v>2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20"/>
      <c r="AA24" s="20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</row>
    <row r="25" spans="1:70" x14ac:dyDescent="0.25">
      <c r="A25" s="13" t="s">
        <v>57</v>
      </c>
      <c r="B25" s="14" t="s">
        <v>58</v>
      </c>
      <c r="C25" s="15">
        <v>23</v>
      </c>
      <c r="D25" s="15">
        <v>25</v>
      </c>
      <c r="E25" s="15">
        <f t="shared" si="0"/>
        <v>3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6"/>
      <c r="AC25" s="16"/>
      <c r="AD25" s="16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</row>
    <row r="26" spans="1:70" x14ac:dyDescent="0.25">
      <c r="A26" s="17" t="s">
        <v>59</v>
      </c>
      <c r="B26" s="18" t="s">
        <v>60</v>
      </c>
      <c r="C26" s="19">
        <v>23</v>
      </c>
      <c r="D26" s="19">
        <v>23</v>
      </c>
      <c r="E26" s="19">
        <f t="shared" si="0"/>
        <v>1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20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</row>
    <row r="27" spans="1:70" x14ac:dyDescent="0.25">
      <c r="A27" s="17" t="s">
        <v>61</v>
      </c>
      <c r="B27" s="18" t="s">
        <v>62</v>
      </c>
      <c r="C27" s="19">
        <v>24</v>
      </c>
      <c r="D27" s="19">
        <v>25</v>
      </c>
      <c r="E27" s="19">
        <f t="shared" si="0"/>
        <v>2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20"/>
      <c r="AD27" s="20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</row>
    <row r="28" spans="1:70" x14ac:dyDescent="0.25">
      <c r="A28" s="7" t="s">
        <v>63</v>
      </c>
      <c r="B28" s="8" t="s">
        <v>64</v>
      </c>
      <c r="C28" s="9">
        <v>26</v>
      </c>
      <c r="D28" s="9">
        <v>45</v>
      </c>
      <c r="E28" s="10">
        <f t="shared" si="0"/>
        <v>20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</row>
    <row r="29" spans="1:70" x14ac:dyDescent="0.25">
      <c r="A29" s="13" t="s">
        <v>65</v>
      </c>
      <c r="B29" s="14" t="s">
        <v>66</v>
      </c>
      <c r="C29" s="15">
        <v>26</v>
      </c>
      <c r="D29" s="15">
        <v>27</v>
      </c>
      <c r="E29" s="15">
        <f t="shared" si="0"/>
        <v>2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6"/>
      <c r="AF29" s="16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</row>
    <row r="30" spans="1:70" x14ac:dyDescent="0.25">
      <c r="A30" s="17" t="s">
        <v>67</v>
      </c>
      <c r="B30" s="18" t="s">
        <v>68</v>
      </c>
      <c r="C30" s="19">
        <v>26</v>
      </c>
      <c r="D30" s="19">
        <v>27</v>
      </c>
      <c r="E30" s="19">
        <f t="shared" si="0"/>
        <v>2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20"/>
      <c r="AF30" s="20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</row>
    <row r="31" spans="1:70" x14ac:dyDescent="0.25">
      <c r="A31" s="13" t="s">
        <v>69</v>
      </c>
      <c r="B31" s="14" t="s">
        <v>70</v>
      </c>
      <c r="C31" s="15">
        <v>28</v>
      </c>
      <c r="D31" s="15">
        <v>35</v>
      </c>
      <c r="E31" s="15">
        <f t="shared" si="0"/>
        <v>8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6"/>
      <c r="AH31" s="16"/>
      <c r="AI31" s="16"/>
      <c r="AJ31" s="16"/>
      <c r="AK31" s="16"/>
      <c r="AL31" s="16"/>
      <c r="AM31" s="16"/>
      <c r="AN31" s="16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</row>
    <row r="32" spans="1:70" x14ac:dyDescent="0.25">
      <c r="A32" s="17" t="s">
        <v>71</v>
      </c>
      <c r="B32" s="18" t="s">
        <v>72</v>
      </c>
      <c r="C32" s="19">
        <v>28</v>
      </c>
      <c r="D32" s="19">
        <v>35</v>
      </c>
      <c r="E32" s="19">
        <f t="shared" si="0"/>
        <v>8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20"/>
      <c r="AH32" s="20"/>
      <c r="AI32" s="20"/>
      <c r="AJ32" s="20"/>
      <c r="AK32" s="20"/>
      <c r="AL32" s="20"/>
      <c r="AM32" s="20"/>
      <c r="AN32" s="20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</row>
    <row r="33" spans="1:70" x14ac:dyDescent="0.25">
      <c r="A33" s="13" t="s">
        <v>73</v>
      </c>
      <c r="B33" s="14" t="s">
        <v>74</v>
      </c>
      <c r="C33" s="15">
        <v>36</v>
      </c>
      <c r="D33" s="15">
        <v>42</v>
      </c>
      <c r="E33" s="15">
        <f t="shared" si="0"/>
        <v>7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6"/>
      <c r="AP33" s="16"/>
      <c r="AQ33" s="16"/>
      <c r="AR33" s="16"/>
      <c r="AS33" s="16"/>
      <c r="AT33" s="16"/>
      <c r="AU33" s="16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</row>
    <row r="34" spans="1:70" x14ac:dyDescent="0.25">
      <c r="A34" s="17" t="s">
        <v>75</v>
      </c>
      <c r="B34" s="18" t="s">
        <v>76</v>
      </c>
      <c r="C34" s="19">
        <v>36</v>
      </c>
      <c r="D34" s="19">
        <v>42</v>
      </c>
      <c r="E34" s="19">
        <f t="shared" si="0"/>
        <v>7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20"/>
      <c r="AP34" s="20"/>
      <c r="AQ34" s="20"/>
      <c r="AR34" s="20"/>
      <c r="AS34" s="20"/>
      <c r="AT34" s="20"/>
      <c r="AU34" s="20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</row>
    <row r="35" spans="1:70" x14ac:dyDescent="0.25">
      <c r="A35" s="13" t="s">
        <v>77</v>
      </c>
      <c r="B35" s="14" t="s">
        <v>78</v>
      </c>
      <c r="C35" s="15">
        <v>43</v>
      </c>
      <c r="D35" s="15">
        <v>45</v>
      </c>
      <c r="E35" s="15">
        <f t="shared" si="0"/>
        <v>3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6"/>
      <c r="AW35" s="16"/>
      <c r="AX35" s="16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</row>
    <row r="36" spans="1:70" x14ac:dyDescent="0.25">
      <c r="A36" s="17" t="s">
        <v>79</v>
      </c>
      <c r="B36" s="18" t="s">
        <v>80</v>
      </c>
      <c r="C36" s="19">
        <v>43</v>
      </c>
      <c r="D36" s="19">
        <v>45</v>
      </c>
      <c r="E36" s="19">
        <f t="shared" si="0"/>
        <v>3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20"/>
      <c r="AW36" s="20"/>
      <c r="AX36" s="20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</row>
    <row r="37" spans="1:70" x14ac:dyDescent="0.25">
      <c r="A37" s="7" t="s">
        <v>81</v>
      </c>
      <c r="B37" s="8" t="s">
        <v>82</v>
      </c>
      <c r="C37" s="9">
        <v>46</v>
      </c>
      <c r="D37" s="9">
        <v>55</v>
      </c>
      <c r="E37" s="10">
        <f t="shared" si="0"/>
        <v>10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2"/>
      <c r="BJ37" s="12"/>
      <c r="BK37" s="12"/>
      <c r="BL37" s="12"/>
      <c r="BM37" s="12"/>
      <c r="BN37" s="12"/>
      <c r="BO37" s="12"/>
      <c r="BP37" s="12"/>
      <c r="BQ37" s="12"/>
      <c r="BR37" s="12"/>
    </row>
    <row r="38" spans="1:70" x14ac:dyDescent="0.25">
      <c r="A38" s="13" t="s">
        <v>83</v>
      </c>
      <c r="B38" s="14" t="s">
        <v>84</v>
      </c>
      <c r="C38" s="15">
        <v>46</v>
      </c>
      <c r="D38" s="15">
        <v>49</v>
      </c>
      <c r="E38" s="15">
        <f t="shared" si="0"/>
        <v>4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6"/>
      <c r="AZ38" s="16"/>
      <c r="BA38" s="16"/>
      <c r="BB38" s="16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</row>
    <row r="39" spans="1:70" x14ac:dyDescent="0.25">
      <c r="A39" s="17" t="s">
        <v>85</v>
      </c>
      <c r="B39" s="18" t="s">
        <v>86</v>
      </c>
      <c r="C39" s="19">
        <v>46</v>
      </c>
      <c r="D39" s="19">
        <v>49</v>
      </c>
      <c r="E39" s="19">
        <f t="shared" si="0"/>
        <v>4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20"/>
      <c r="AZ39" s="20"/>
      <c r="BA39" s="20"/>
      <c r="BB39" s="20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</row>
    <row r="40" spans="1:70" x14ac:dyDescent="0.25">
      <c r="A40" s="13" t="s">
        <v>87</v>
      </c>
      <c r="B40" s="14" t="s">
        <v>88</v>
      </c>
      <c r="C40" s="15">
        <v>50</v>
      </c>
      <c r="D40" s="15">
        <v>55</v>
      </c>
      <c r="E40" s="15">
        <f t="shared" si="0"/>
        <v>6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6"/>
      <c r="BD40" s="16"/>
      <c r="BE40" s="16"/>
      <c r="BF40" s="16"/>
      <c r="BG40" s="16"/>
      <c r="BH40" s="16"/>
      <c r="BI40" s="12"/>
      <c r="BJ40" s="12"/>
      <c r="BK40" s="12"/>
      <c r="BL40" s="12"/>
      <c r="BM40" s="12"/>
      <c r="BN40" s="12"/>
      <c r="BO40" s="12"/>
      <c r="BP40" s="12"/>
      <c r="BQ40" s="12"/>
      <c r="BR40" s="12"/>
    </row>
    <row r="41" spans="1:70" x14ac:dyDescent="0.25">
      <c r="A41" s="17" t="s">
        <v>89</v>
      </c>
      <c r="B41" s="18" t="s">
        <v>90</v>
      </c>
      <c r="C41" s="19">
        <v>50</v>
      </c>
      <c r="D41" s="19">
        <v>55</v>
      </c>
      <c r="E41" s="19">
        <f t="shared" si="0"/>
        <v>6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20"/>
      <c r="BD41" s="20"/>
      <c r="BE41" s="20"/>
      <c r="BF41" s="20"/>
      <c r="BG41" s="20"/>
      <c r="BH41" s="20"/>
      <c r="BI41" s="12"/>
      <c r="BJ41" s="12"/>
      <c r="BK41" s="12"/>
      <c r="BL41" s="12"/>
      <c r="BM41" s="12"/>
      <c r="BN41" s="12"/>
      <c r="BO41" s="12"/>
      <c r="BP41" s="12"/>
      <c r="BQ41" s="12"/>
      <c r="BR41" s="12"/>
    </row>
    <row r="42" spans="1:70" x14ac:dyDescent="0.25">
      <c r="A42" s="7" t="s">
        <v>91</v>
      </c>
      <c r="B42" s="8" t="s">
        <v>92</v>
      </c>
      <c r="C42" s="9">
        <v>56</v>
      </c>
      <c r="D42" s="9">
        <v>60</v>
      </c>
      <c r="E42" s="10">
        <f t="shared" si="0"/>
        <v>5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1"/>
      <c r="BJ42" s="11"/>
      <c r="BK42" s="11"/>
      <c r="BL42" s="11"/>
      <c r="BM42" s="11"/>
      <c r="BN42" s="12"/>
      <c r="BO42" s="12"/>
      <c r="BP42" s="12"/>
      <c r="BQ42" s="12"/>
      <c r="BR42" s="12"/>
    </row>
    <row r="43" spans="1:70" x14ac:dyDescent="0.25">
      <c r="A43" s="13" t="s">
        <v>93</v>
      </c>
      <c r="B43" s="14" t="s">
        <v>94</v>
      </c>
      <c r="C43" s="15">
        <v>56</v>
      </c>
      <c r="D43" s="15">
        <v>58</v>
      </c>
      <c r="E43" s="15">
        <f t="shared" si="0"/>
        <v>3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6"/>
      <c r="BJ43" s="16"/>
      <c r="BK43" s="16"/>
      <c r="BL43" s="12"/>
      <c r="BM43" s="12"/>
      <c r="BN43" s="12"/>
      <c r="BO43" s="12"/>
      <c r="BP43" s="12"/>
      <c r="BQ43" s="12"/>
      <c r="BR43" s="12"/>
    </row>
    <row r="44" spans="1:70" x14ac:dyDescent="0.25">
      <c r="A44" s="17" t="s">
        <v>95</v>
      </c>
      <c r="B44" s="18" t="s">
        <v>96</v>
      </c>
      <c r="C44" s="19">
        <v>56</v>
      </c>
      <c r="D44" s="19">
        <v>58</v>
      </c>
      <c r="E44" s="19">
        <f t="shared" si="0"/>
        <v>3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20"/>
      <c r="BJ44" s="20"/>
      <c r="BK44" s="20"/>
      <c r="BL44" s="12"/>
      <c r="BM44" s="12"/>
      <c r="BN44" s="12"/>
      <c r="BO44" s="12"/>
      <c r="BP44" s="12"/>
      <c r="BQ44" s="12"/>
      <c r="BR44" s="12"/>
    </row>
    <row r="45" spans="1:70" x14ac:dyDescent="0.25">
      <c r="A45" s="13" t="s">
        <v>97</v>
      </c>
      <c r="B45" s="14" t="s">
        <v>98</v>
      </c>
      <c r="C45" s="15">
        <v>59</v>
      </c>
      <c r="D45" s="15">
        <v>60</v>
      </c>
      <c r="E45" s="15">
        <f t="shared" si="0"/>
        <v>2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6"/>
      <c r="BM45" s="16"/>
      <c r="BN45" s="12"/>
      <c r="BO45" s="12"/>
      <c r="BP45" s="12"/>
      <c r="BQ45" s="12"/>
      <c r="BR45" s="12"/>
    </row>
    <row r="46" spans="1:70" x14ac:dyDescent="0.25">
      <c r="A46" s="17" t="s">
        <v>99</v>
      </c>
      <c r="B46" s="18" t="s">
        <v>100</v>
      </c>
      <c r="C46" s="19">
        <v>59</v>
      </c>
      <c r="D46" s="19">
        <v>60</v>
      </c>
      <c r="E46" s="19">
        <f t="shared" si="0"/>
        <v>2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20"/>
      <c r="BM46" s="20"/>
      <c r="BN46" s="12"/>
      <c r="BO46" s="12"/>
      <c r="BP46" s="12"/>
      <c r="BQ46" s="12"/>
      <c r="BR46" s="12"/>
    </row>
    <row r="47" spans="1:70" x14ac:dyDescent="0.25">
      <c r="A47" s="7" t="s">
        <v>101</v>
      </c>
      <c r="B47" s="8" t="s">
        <v>102</v>
      </c>
      <c r="C47" s="9">
        <v>61</v>
      </c>
      <c r="D47" s="9">
        <v>65</v>
      </c>
      <c r="E47" s="10">
        <f t="shared" si="0"/>
        <v>5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1"/>
      <c r="BO47" s="11"/>
      <c r="BP47" s="11"/>
      <c r="BQ47" s="11"/>
      <c r="BR47" s="11"/>
    </row>
    <row r="48" spans="1:70" x14ac:dyDescent="0.25">
      <c r="A48" s="13" t="s">
        <v>103</v>
      </c>
      <c r="B48" s="14" t="s">
        <v>104</v>
      </c>
      <c r="C48" s="15">
        <v>61</v>
      </c>
      <c r="D48" s="15">
        <v>63</v>
      </c>
      <c r="E48" s="15">
        <f t="shared" si="0"/>
        <v>3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6"/>
      <c r="BO48" s="16"/>
      <c r="BP48" s="16"/>
      <c r="BQ48" s="12"/>
      <c r="BR48" s="12"/>
    </row>
    <row r="49" spans="1:70" x14ac:dyDescent="0.25">
      <c r="A49" s="17" t="s">
        <v>105</v>
      </c>
      <c r="B49" s="18" t="s">
        <v>106</v>
      </c>
      <c r="C49" s="19">
        <v>61</v>
      </c>
      <c r="D49" s="19">
        <v>63</v>
      </c>
      <c r="E49" s="19">
        <f t="shared" si="0"/>
        <v>3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20"/>
      <c r="BO49" s="20"/>
      <c r="BP49" s="20"/>
      <c r="BQ49" s="12"/>
      <c r="BR49" s="12"/>
    </row>
    <row r="50" spans="1:70" x14ac:dyDescent="0.25">
      <c r="A50" s="13" t="s">
        <v>107</v>
      </c>
      <c r="B50" s="14" t="s">
        <v>108</v>
      </c>
      <c r="C50" s="15">
        <v>64</v>
      </c>
      <c r="D50" s="15">
        <v>65</v>
      </c>
      <c r="E50" s="15">
        <f t="shared" si="0"/>
        <v>2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6"/>
      <c r="BR50" s="16"/>
    </row>
    <row r="51" spans="1:70" x14ac:dyDescent="0.25">
      <c r="A51" s="17" t="s">
        <v>109</v>
      </c>
      <c r="B51" s="18" t="s">
        <v>110</v>
      </c>
      <c r="C51" s="19">
        <v>64</v>
      </c>
      <c r="D51" s="19">
        <v>65</v>
      </c>
      <c r="E51" s="19">
        <f t="shared" si="0"/>
        <v>2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20"/>
      <c r="BR51" s="20"/>
    </row>
    <row r="52" spans="1:70" x14ac:dyDescent="0.25">
      <c r="A52" s="11"/>
      <c r="B52" s="21" t="s">
        <v>111</v>
      </c>
      <c r="C52" s="22">
        <v>1</v>
      </c>
      <c r="D52" s="22">
        <f>MAX(D9:D51)</f>
        <v>65</v>
      </c>
      <c r="E52" s="22">
        <f t="shared" si="0"/>
        <v>65</v>
      </c>
    </row>
  </sheetData>
  <mergeCells count="16">
    <mergeCell ref="B1:Z1"/>
    <mergeCell ref="E3:F3"/>
    <mergeCell ref="G3:I3"/>
    <mergeCell ref="F7:J7"/>
    <mergeCell ref="K7:O7"/>
    <mergeCell ref="P7:T7"/>
    <mergeCell ref="U7:Y7"/>
    <mergeCell ref="Z7:AD7"/>
    <mergeCell ref="BD7:BH7"/>
    <mergeCell ref="BI7:BM7"/>
    <mergeCell ref="BN7:BR7"/>
    <mergeCell ref="AE7:AI7"/>
    <mergeCell ref="AJ7:AN7"/>
    <mergeCell ref="AO7:AS7"/>
    <mergeCell ref="AT7:AX7"/>
    <mergeCell ref="AY7:BC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showGridLines="0" zoomScaleNormal="100" workbookViewId="0">
      <pane ySplit="3" topLeftCell="A4" activePane="bottomLeft" state="frozen"/>
      <selection pane="bottomLeft" activeCell="B30" sqref="B30"/>
    </sheetView>
  </sheetViews>
  <sheetFormatPr baseColWidth="10" defaultColWidth="8.7109375" defaultRowHeight="15" x14ac:dyDescent="0.25"/>
  <cols>
    <col min="1" max="1" width="4.28515625" bestFit="1" customWidth="1"/>
    <col min="2" max="2" width="61.5703125" bestFit="1" customWidth="1"/>
    <col min="3" max="3" width="24.42578125" bestFit="1" customWidth="1"/>
    <col min="4" max="4" width="32" bestFit="1" customWidth="1"/>
    <col min="5" max="5" width="11.42578125" bestFit="1" customWidth="1"/>
    <col min="6" max="6" width="6.42578125" bestFit="1" customWidth="1"/>
    <col min="7" max="7" width="7.42578125" bestFit="1" customWidth="1"/>
    <col min="8" max="8" width="10.140625" bestFit="1" customWidth="1"/>
  </cols>
  <sheetData>
    <row r="1" spans="1:8" ht="16.5" customHeight="1" x14ac:dyDescent="0.25">
      <c r="A1" s="41" t="s">
        <v>112</v>
      </c>
      <c r="B1" s="41"/>
      <c r="C1" s="41"/>
      <c r="D1" s="41"/>
      <c r="E1" s="41"/>
      <c r="F1" s="41"/>
      <c r="G1" s="41"/>
      <c r="H1" s="41"/>
    </row>
    <row r="2" spans="1:8" x14ac:dyDescent="0.25">
      <c r="A2" s="42"/>
      <c r="B2" s="42"/>
      <c r="C2" s="42"/>
      <c r="D2" s="42"/>
      <c r="E2" s="42"/>
      <c r="F2" s="42"/>
      <c r="G2" s="42"/>
      <c r="H2" s="42"/>
    </row>
    <row r="3" spans="1:8" ht="30" x14ac:dyDescent="0.25">
      <c r="A3" s="23" t="s">
        <v>21</v>
      </c>
      <c r="B3" s="23" t="s">
        <v>3</v>
      </c>
      <c r="C3" s="23" t="s">
        <v>113</v>
      </c>
      <c r="D3" s="23" t="s">
        <v>2</v>
      </c>
      <c r="E3" s="23" t="s">
        <v>114</v>
      </c>
      <c r="F3" s="23" t="s">
        <v>115</v>
      </c>
      <c r="G3" s="23" t="s">
        <v>116</v>
      </c>
      <c r="H3" s="23" t="s">
        <v>117</v>
      </c>
    </row>
    <row r="4" spans="1:8" x14ac:dyDescent="0.25">
      <c r="A4" s="24" t="s">
        <v>29</v>
      </c>
      <c r="B4" s="25" t="s">
        <v>30</v>
      </c>
      <c r="C4" s="25" t="s">
        <v>118</v>
      </c>
      <c r="D4" s="25" t="s">
        <v>119</v>
      </c>
      <c r="E4" s="24" t="s">
        <v>120</v>
      </c>
      <c r="F4" s="24">
        <v>1</v>
      </c>
      <c r="G4" s="24">
        <v>4</v>
      </c>
      <c r="H4" s="24">
        <f t="shared" ref="H4:H24" si="0">G4-F4+1</f>
        <v>4</v>
      </c>
    </row>
    <row r="5" spans="1:8" x14ac:dyDescent="0.25">
      <c r="A5" s="26" t="s">
        <v>33</v>
      </c>
      <c r="B5" s="27" t="s">
        <v>34</v>
      </c>
      <c r="C5" s="27" t="s">
        <v>118</v>
      </c>
      <c r="D5" s="27" t="s">
        <v>121</v>
      </c>
      <c r="E5" s="26" t="s">
        <v>120</v>
      </c>
      <c r="F5" s="26">
        <v>5</v>
      </c>
      <c r="G5" s="26">
        <v>8</v>
      </c>
      <c r="H5" s="26">
        <f t="shared" si="0"/>
        <v>4</v>
      </c>
    </row>
    <row r="6" spans="1:8" x14ac:dyDescent="0.25">
      <c r="A6" s="24" t="s">
        <v>35</v>
      </c>
      <c r="B6" s="25" t="s">
        <v>36</v>
      </c>
      <c r="C6" s="25" t="s">
        <v>118</v>
      </c>
      <c r="D6" s="25" t="s">
        <v>121</v>
      </c>
      <c r="E6" s="24" t="s">
        <v>120</v>
      </c>
      <c r="F6" s="24">
        <v>9</v>
      </c>
      <c r="G6" s="24">
        <v>10</v>
      </c>
      <c r="H6" s="24">
        <f t="shared" si="0"/>
        <v>2</v>
      </c>
    </row>
    <row r="7" spans="1:8" x14ac:dyDescent="0.25">
      <c r="A7" s="26" t="s">
        <v>41</v>
      </c>
      <c r="B7" s="27" t="s">
        <v>42</v>
      </c>
      <c r="C7" s="27" t="s">
        <v>122</v>
      </c>
      <c r="D7" s="27" t="s">
        <v>123</v>
      </c>
      <c r="E7" s="26" t="s">
        <v>124</v>
      </c>
      <c r="F7" s="26">
        <v>11</v>
      </c>
      <c r="G7" s="26">
        <v>12</v>
      </c>
      <c r="H7" s="26">
        <f t="shared" si="0"/>
        <v>2</v>
      </c>
    </row>
    <row r="8" spans="1:8" x14ac:dyDescent="0.25">
      <c r="A8" s="24" t="s">
        <v>43</v>
      </c>
      <c r="B8" s="25" t="s">
        <v>44</v>
      </c>
      <c r="C8" s="25" t="s">
        <v>122</v>
      </c>
      <c r="D8" s="25" t="s">
        <v>123</v>
      </c>
      <c r="E8" s="24" t="s">
        <v>120</v>
      </c>
      <c r="F8" s="24">
        <v>13</v>
      </c>
      <c r="G8" s="24">
        <v>14</v>
      </c>
      <c r="H8" s="24">
        <f t="shared" si="0"/>
        <v>2</v>
      </c>
    </row>
    <row r="9" spans="1:8" x14ac:dyDescent="0.25">
      <c r="A9" s="26" t="s">
        <v>47</v>
      </c>
      <c r="B9" s="27" t="s">
        <v>48</v>
      </c>
      <c r="C9" s="27" t="s">
        <v>122</v>
      </c>
      <c r="D9" s="27" t="s">
        <v>125</v>
      </c>
      <c r="E9" s="26" t="s">
        <v>124</v>
      </c>
      <c r="F9" s="26">
        <v>15</v>
      </c>
      <c r="G9" s="26">
        <v>16</v>
      </c>
      <c r="H9" s="26">
        <f t="shared" si="0"/>
        <v>2</v>
      </c>
    </row>
    <row r="10" spans="1:8" x14ac:dyDescent="0.25">
      <c r="A10" s="24" t="s">
        <v>49</v>
      </c>
      <c r="B10" s="25" t="s">
        <v>50</v>
      </c>
      <c r="C10" s="25" t="s">
        <v>122</v>
      </c>
      <c r="D10" s="25" t="s">
        <v>125</v>
      </c>
      <c r="E10" s="24" t="s">
        <v>126</v>
      </c>
      <c r="F10" s="24">
        <v>17</v>
      </c>
      <c r="G10" s="24">
        <v>18</v>
      </c>
      <c r="H10" s="24">
        <f t="shared" si="0"/>
        <v>2</v>
      </c>
    </row>
    <row r="11" spans="1:8" x14ac:dyDescent="0.25">
      <c r="A11" s="26" t="s">
        <v>53</v>
      </c>
      <c r="B11" s="27" t="s">
        <v>54</v>
      </c>
      <c r="C11" s="27" t="s">
        <v>122</v>
      </c>
      <c r="D11" s="27" t="s">
        <v>127</v>
      </c>
      <c r="E11" s="26" t="s">
        <v>124</v>
      </c>
      <c r="F11" s="26">
        <v>19</v>
      </c>
      <c r="G11" s="26">
        <v>20</v>
      </c>
      <c r="H11" s="26">
        <f t="shared" si="0"/>
        <v>2</v>
      </c>
    </row>
    <row r="12" spans="1:8" x14ac:dyDescent="0.25">
      <c r="A12" s="24" t="s">
        <v>55</v>
      </c>
      <c r="B12" s="25" t="s">
        <v>56</v>
      </c>
      <c r="C12" s="25" t="s">
        <v>122</v>
      </c>
      <c r="D12" s="25" t="s">
        <v>127</v>
      </c>
      <c r="E12" s="24" t="s">
        <v>124</v>
      </c>
      <c r="F12" s="24">
        <v>21</v>
      </c>
      <c r="G12" s="24">
        <v>22</v>
      </c>
      <c r="H12" s="24">
        <f t="shared" si="0"/>
        <v>2</v>
      </c>
    </row>
    <row r="13" spans="1:8" x14ac:dyDescent="0.25">
      <c r="A13" s="26" t="s">
        <v>59</v>
      </c>
      <c r="B13" s="27" t="s">
        <v>60</v>
      </c>
      <c r="C13" s="27" t="s">
        <v>122</v>
      </c>
      <c r="D13" s="27" t="s">
        <v>128</v>
      </c>
      <c r="E13" s="26" t="s">
        <v>124</v>
      </c>
      <c r="F13" s="26">
        <v>23</v>
      </c>
      <c r="G13" s="26">
        <v>23</v>
      </c>
      <c r="H13" s="26">
        <f t="shared" si="0"/>
        <v>1</v>
      </c>
    </row>
    <row r="14" spans="1:8" x14ac:dyDescent="0.25">
      <c r="A14" s="24" t="s">
        <v>61</v>
      </c>
      <c r="B14" s="25" t="s">
        <v>62</v>
      </c>
      <c r="C14" s="25" t="s">
        <v>122</v>
      </c>
      <c r="D14" s="25" t="s">
        <v>128</v>
      </c>
      <c r="E14" s="24" t="s">
        <v>129</v>
      </c>
      <c r="F14" s="24">
        <v>24</v>
      </c>
      <c r="G14" s="24">
        <v>25</v>
      </c>
      <c r="H14" s="24">
        <f t="shared" si="0"/>
        <v>2</v>
      </c>
    </row>
    <row r="15" spans="1:8" x14ac:dyDescent="0.25">
      <c r="A15" s="26" t="s">
        <v>67</v>
      </c>
      <c r="B15" s="27" t="s">
        <v>68</v>
      </c>
      <c r="C15" s="27" t="s">
        <v>130</v>
      </c>
      <c r="D15" s="27" t="s">
        <v>131</v>
      </c>
      <c r="E15" s="26" t="s">
        <v>120</v>
      </c>
      <c r="F15" s="26">
        <v>26</v>
      </c>
      <c r="G15" s="26">
        <v>27</v>
      </c>
      <c r="H15" s="26">
        <f t="shared" si="0"/>
        <v>2</v>
      </c>
    </row>
    <row r="16" spans="1:8" x14ac:dyDescent="0.25">
      <c r="A16" s="24" t="s">
        <v>71</v>
      </c>
      <c r="B16" s="25" t="s">
        <v>72</v>
      </c>
      <c r="C16" s="25" t="s">
        <v>130</v>
      </c>
      <c r="D16" s="25" t="s">
        <v>132</v>
      </c>
      <c r="E16" s="24" t="s">
        <v>133</v>
      </c>
      <c r="F16" s="24">
        <v>28</v>
      </c>
      <c r="G16" s="24">
        <v>35</v>
      </c>
      <c r="H16" s="24">
        <f t="shared" si="0"/>
        <v>8</v>
      </c>
    </row>
    <row r="17" spans="1:8" x14ac:dyDescent="0.25">
      <c r="A17" s="26" t="s">
        <v>75</v>
      </c>
      <c r="B17" s="27" t="s">
        <v>76</v>
      </c>
      <c r="C17" s="27" t="s">
        <v>130</v>
      </c>
      <c r="D17" s="27" t="s">
        <v>134</v>
      </c>
      <c r="E17" s="26" t="s">
        <v>133</v>
      </c>
      <c r="F17" s="26">
        <v>36</v>
      </c>
      <c r="G17" s="26">
        <v>42</v>
      </c>
      <c r="H17" s="26">
        <f t="shared" si="0"/>
        <v>7</v>
      </c>
    </row>
    <row r="18" spans="1:8" x14ac:dyDescent="0.25">
      <c r="A18" s="24" t="s">
        <v>79</v>
      </c>
      <c r="B18" s="25" t="s">
        <v>80</v>
      </c>
      <c r="C18" s="25" t="s">
        <v>130</v>
      </c>
      <c r="D18" s="25" t="s">
        <v>135</v>
      </c>
      <c r="E18" s="24" t="s">
        <v>133</v>
      </c>
      <c r="F18" s="24">
        <v>43</v>
      </c>
      <c r="G18" s="24">
        <v>45</v>
      </c>
      <c r="H18" s="24">
        <f t="shared" si="0"/>
        <v>3</v>
      </c>
    </row>
    <row r="19" spans="1:8" x14ac:dyDescent="0.25">
      <c r="A19" s="26" t="s">
        <v>85</v>
      </c>
      <c r="B19" s="27" t="s">
        <v>86</v>
      </c>
      <c r="C19" s="27" t="s">
        <v>136</v>
      </c>
      <c r="D19" s="27" t="s">
        <v>137</v>
      </c>
      <c r="E19" s="26" t="s">
        <v>120</v>
      </c>
      <c r="F19" s="26">
        <v>46</v>
      </c>
      <c r="G19" s="26">
        <v>49</v>
      </c>
      <c r="H19" s="26">
        <f t="shared" si="0"/>
        <v>4</v>
      </c>
    </row>
    <row r="20" spans="1:8" x14ac:dyDescent="0.25">
      <c r="A20" s="24" t="s">
        <v>89</v>
      </c>
      <c r="B20" s="25" t="s">
        <v>90</v>
      </c>
      <c r="C20" s="25" t="s">
        <v>136</v>
      </c>
      <c r="D20" s="25" t="s">
        <v>138</v>
      </c>
      <c r="E20" s="24" t="s">
        <v>139</v>
      </c>
      <c r="F20" s="24">
        <v>50</v>
      </c>
      <c r="G20" s="24">
        <v>55</v>
      </c>
      <c r="H20" s="24">
        <f t="shared" si="0"/>
        <v>6</v>
      </c>
    </row>
    <row r="21" spans="1:8" x14ac:dyDescent="0.25">
      <c r="A21" s="26" t="s">
        <v>95</v>
      </c>
      <c r="B21" s="27" t="s">
        <v>96</v>
      </c>
      <c r="C21" s="27" t="s">
        <v>140</v>
      </c>
      <c r="D21" s="27" t="s">
        <v>141</v>
      </c>
      <c r="E21" s="26" t="s">
        <v>120</v>
      </c>
      <c r="F21" s="26">
        <v>56</v>
      </c>
      <c r="G21" s="26">
        <v>58</v>
      </c>
      <c r="H21" s="26">
        <f t="shared" si="0"/>
        <v>3</v>
      </c>
    </row>
    <row r="22" spans="1:8" x14ac:dyDescent="0.25">
      <c r="A22" s="24" t="s">
        <v>99</v>
      </c>
      <c r="B22" s="25" t="s">
        <v>100</v>
      </c>
      <c r="C22" s="25" t="s">
        <v>140</v>
      </c>
      <c r="D22" s="25" t="s">
        <v>142</v>
      </c>
      <c r="E22" s="24" t="s">
        <v>120</v>
      </c>
      <c r="F22" s="24">
        <v>59</v>
      </c>
      <c r="G22" s="24">
        <v>60</v>
      </c>
      <c r="H22" s="24">
        <f t="shared" si="0"/>
        <v>2</v>
      </c>
    </row>
    <row r="23" spans="1:8" x14ac:dyDescent="0.25">
      <c r="A23" s="26" t="s">
        <v>105</v>
      </c>
      <c r="B23" s="27" t="s">
        <v>106</v>
      </c>
      <c r="C23" s="27" t="s">
        <v>143</v>
      </c>
      <c r="D23" s="27" t="s">
        <v>144</v>
      </c>
      <c r="E23" s="26" t="s">
        <v>120</v>
      </c>
      <c r="F23" s="26">
        <v>61</v>
      </c>
      <c r="G23" s="26">
        <v>63</v>
      </c>
      <c r="H23" s="26">
        <f t="shared" si="0"/>
        <v>3</v>
      </c>
    </row>
    <row r="24" spans="1:8" x14ac:dyDescent="0.25">
      <c r="A24" s="24" t="s">
        <v>109</v>
      </c>
      <c r="B24" s="25" t="s">
        <v>110</v>
      </c>
      <c r="C24" s="25" t="s">
        <v>143</v>
      </c>
      <c r="D24" s="25" t="s">
        <v>145</v>
      </c>
      <c r="E24" s="24" t="s">
        <v>120</v>
      </c>
      <c r="F24" s="24">
        <v>64</v>
      </c>
      <c r="G24" s="24">
        <v>65</v>
      </c>
      <c r="H24" s="24">
        <f t="shared" si="0"/>
        <v>2</v>
      </c>
    </row>
    <row r="25" spans="1:8" x14ac:dyDescent="0.25">
      <c r="A25" s="28">
        <f>COUNTA(A4:A24)</f>
        <v>21</v>
      </c>
      <c r="B25" s="29" t="s">
        <v>146</v>
      </c>
      <c r="C25" s="30"/>
      <c r="D25" s="30"/>
      <c r="E25" s="30"/>
      <c r="F25" s="30"/>
      <c r="G25" s="30"/>
      <c r="H25" s="28">
        <f>SUM(H4:H24)</f>
        <v>65</v>
      </c>
    </row>
  </sheetData>
  <mergeCells count="1">
    <mergeCell ref="A1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Planificación</vt:lpstr>
      <vt:lpstr>Artefactos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DARIEM ALBERTO BENITES PEREZ</cp:lastModifiedBy>
  <cp:revision>0</cp:revision>
  <dcterms:created xsi:type="dcterms:W3CDTF">2026-06-01T15:28:43Z</dcterms:created>
  <dcterms:modified xsi:type="dcterms:W3CDTF">2026-06-01T19:26:34Z</dcterms:modified>
  <dc:language>en-US</dc:language>
</cp:coreProperties>
</file>